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vinashmehra/Library/Mobile Documents/com~apple~CloudDocs/UofT-Data Analytics/Assignments/Module 2 Challenge - VBA/"/>
    </mc:Choice>
  </mc:AlternateContent>
  <xr:revisionPtr revIDLastSave="0" documentId="13_ncr:1_{D710FDF9-5F2A-A04B-AF2A-8C9425464BC9}" xr6:coauthVersionLast="47" xr6:coauthVersionMax="47" xr10:uidLastSave="{00000000-0000-0000-0000-000000000000}"/>
  <bookViews>
    <workbookView xWindow="0" yWindow="0" windowWidth="28800" windowHeight="18000" activeTab="3" xr2:uid="{00000000-000D-0000-FFFF-FFFF00000000}"/>
  </bookViews>
  <sheets>
    <sheet name="2017" sheetId="1" r:id="rId1"/>
    <sheet name="2018" sheetId="2" r:id="rId2"/>
    <sheet name="DQ Analysis" sheetId="3" state="hidden" r:id="rId3"/>
    <sheet name="All Stocks Analysis" sheetId="5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763" i="1" l="1"/>
  <c r="N2763" i="1"/>
  <c r="M2763" i="1"/>
  <c r="L2763" i="1"/>
  <c r="K2763" i="1"/>
  <c r="J2763" i="1"/>
  <c r="O2512" i="1"/>
  <c r="N2512" i="1"/>
  <c r="M2512" i="1"/>
  <c r="L2512" i="1"/>
  <c r="K2512" i="1"/>
  <c r="J2512" i="1"/>
  <c r="O2261" i="1"/>
  <c r="N2261" i="1"/>
  <c r="M2261" i="1"/>
  <c r="L2261" i="1"/>
  <c r="K2261" i="1"/>
  <c r="J2261" i="1"/>
  <c r="O2010" i="1"/>
  <c r="N2010" i="1"/>
  <c r="M2010" i="1"/>
  <c r="L2010" i="1"/>
  <c r="K2010" i="1"/>
  <c r="J2010" i="1"/>
  <c r="O1759" i="1"/>
  <c r="N1759" i="1"/>
  <c r="M1759" i="1"/>
  <c r="L1759" i="1"/>
  <c r="K1759" i="1"/>
  <c r="J1759" i="1"/>
  <c r="O1508" i="1"/>
  <c r="N1508" i="1"/>
  <c r="M1508" i="1"/>
  <c r="L1508" i="1"/>
  <c r="K1508" i="1"/>
  <c r="J1508" i="1"/>
  <c r="O1257" i="1"/>
  <c r="N1257" i="1"/>
  <c r="M1257" i="1"/>
  <c r="L1257" i="1"/>
  <c r="K1257" i="1"/>
  <c r="J1257" i="1"/>
  <c r="O1006" i="1"/>
  <c r="N1006" i="1"/>
  <c r="M1006" i="1"/>
  <c r="L1006" i="1"/>
  <c r="K1006" i="1"/>
  <c r="J1006" i="1"/>
  <c r="O755" i="1"/>
  <c r="N755" i="1"/>
  <c r="M755" i="1"/>
  <c r="L755" i="1"/>
  <c r="K755" i="1"/>
  <c r="J755" i="1"/>
  <c r="O504" i="1"/>
  <c r="N504" i="1"/>
  <c r="M504" i="1"/>
  <c r="L504" i="1"/>
  <c r="K504" i="1"/>
  <c r="J504" i="1"/>
  <c r="O253" i="1"/>
  <c r="N253" i="1"/>
  <c r="M253" i="1"/>
  <c r="L253" i="1"/>
  <c r="K253" i="1"/>
  <c r="J253" i="1"/>
  <c r="O2" i="1"/>
  <c r="N2" i="1"/>
  <c r="M2" i="1"/>
  <c r="L2" i="1"/>
  <c r="K2" i="1"/>
  <c r="J2" i="1"/>
  <c r="O2763" i="2"/>
  <c r="N2763" i="2"/>
  <c r="M2763" i="2"/>
  <c r="L2763" i="2"/>
  <c r="K2763" i="2"/>
  <c r="J2763" i="2"/>
  <c r="O2512" i="2"/>
  <c r="N2512" i="2"/>
  <c r="M2512" i="2"/>
  <c r="L2512" i="2"/>
  <c r="K2512" i="2"/>
  <c r="J2512" i="2"/>
  <c r="O2261" i="2"/>
  <c r="N2261" i="2"/>
  <c r="M2261" i="2"/>
  <c r="L2261" i="2"/>
  <c r="K2261" i="2"/>
  <c r="J2261" i="2"/>
  <c r="O2010" i="2"/>
  <c r="N2010" i="2"/>
  <c r="M2010" i="2"/>
  <c r="L2010" i="2"/>
  <c r="K2010" i="2"/>
  <c r="J2010" i="2"/>
  <c r="O1759" i="2"/>
  <c r="N1759" i="2"/>
  <c r="M1759" i="2"/>
  <c r="L1759" i="2"/>
  <c r="K1759" i="2"/>
  <c r="J1759" i="2"/>
  <c r="O1508" i="2"/>
  <c r="N1508" i="2"/>
  <c r="M1508" i="2"/>
  <c r="L1508" i="2"/>
  <c r="K1508" i="2"/>
  <c r="J1508" i="2"/>
  <c r="O1257" i="2"/>
  <c r="N1257" i="2"/>
  <c r="M1257" i="2"/>
  <c r="L1257" i="2"/>
  <c r="K1257" i="2"/>
  <c r="J1257" i="2"/>
  <c r="O1006" i="2"/>
  <c r="N1006" i="2"/>
  <c r="M1006" i="2"/>
  <c r="L1006" i="2"/>
  <c r="K1006" i="2"/>
  <c r="J1006" i="2"/>
  <c r="O755" i="2"/>
  <c r="N755" i="2"/>
  <c r="M755" i="2"/>
  <c r="L755" i="2"/>
  <c r="K755" i="2"/>
  <c r="J755" i="2"/>
  <c r="O504" i="2"/>
  <c r="N504" i="2"/>
  <c r="M504" i="2"/>
  <c r="L504" i="2"/>
  <c r="K504" i="2"/>
  <c r="J504" i="2"/>
  <c r="O253" i="2"/>
  <c r="N253" i="2"/>
  <c r="M253" i="2"/>
  <c r="L253" i="2"/>
  <c r="K253" i="2"/>
  <c r="J253" i="2"/>
  <c r="O2" i="2"/>
  <c r="N2" i="2"/>
  <c r="M2" i="2"/>
  <c r="L2" i="2"/>
  <c r="K2" i="2"/>
  <c r="J2" i="2"/>
  <c r="Q2" i="2" l="1"/>
  <c r="Q2" i="1"/>
</calcChain>
</file>

<file path=xl/sharedStrings.xml><?xml version="1.0" encoding="utf-8"?>
<sst xmlns="http://schemas.openxmlformats.org/spreadsheetml/2006/main" count="12102" uniqueCount="536">
  <si>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</si>
  <si>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</si>
  <si>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</si>
  <si>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</si>
  <si>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</si>
  <si>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</si>
  <si>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</si>
  <si>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</si>
  <si>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</si>
  <si>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</si>
  <si>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</si>
  <si>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</si>
  <si>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</si>
  <si>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</si>
  <si>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</si>
  <si>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</si>
  <si>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</si>
  <si>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</si>
  <si>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</si>
  <si>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</si>
  <si>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</si>
  <si>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</si>
  <si>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</si>
  <si>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</si>
  <si>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</si>
  <si>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</si>
  <si>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</si>
  <si>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</si>
  <si>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</si>
  <si>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</si>
  <si>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</si>
  <si>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</si>
  <si>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</si>
  <si>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</si>
  <si>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</si>
  <si>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</si>
  <si>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</si>
  <si>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</si>
  <si>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</si>
  <si>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</si>
  <si>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</si>
  <si>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</si>
  <si>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</si>
  <si>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</si>
  <si>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</si>
  <si>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</si>
  <si>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</si>
  <si>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</si>
  <si>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</si>
  <si>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</si>
  <si>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</si>
  <si>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</si>
  <si>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</si>
  <si>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</si>
  <si>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</si>
  <si>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</si>
  <si>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</si>
  <si>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</si>
  <si>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</si>
  <si>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</si>
  <si>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</si>
  <si>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</si>
  <si>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</si>
  <si>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</si>
  <si>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</si>
  <si>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</si>
  <si>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</si>
  <si>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</si>
  <si>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</si>
  <si>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</si>
  <si>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</si>
  <si>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</si>
  <si>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</si>
  <si>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</si>
  <si>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</si>
  <si>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</si>
  <si>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</si>
  <si>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</si>
  <si>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</si>
  <si>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</si>
  <si>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</si>
  <si>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</si>
  <si>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</si>
  <si>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</si>
  <si>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</si>
  <si>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</si>
  <si>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</si>
  <si>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</si>
  <si>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</si>
  <si>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</si>
  <si>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</si>
  <si>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</si>
  <si>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</si>
  <si>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</si>
  <si>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</si>
  <si>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</si>
  <si>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</si>
  <si>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</si>
  <si>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</si>
  <si>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</si>
  <si>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</si>
  <si>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</si>
  <si>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</si>
  <si>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</si>
  <si>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</si>
  <si>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</si>
  <si>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</si>
  <si>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</si>
  <si>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</si>
  <si>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</si>
  <si>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</si>
  <si>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</si>
  <si>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</si>
  <si>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</si>
  <si>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</si>
  <si>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</si>
  <si>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</si>
  <si>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</si>
  <si>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</si>
  <si>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</si>
  <si>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</si>
  <si>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</si>
  <si>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</si>
  <si>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</si>
  <si>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</si>
  <si>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</si>
  <si>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</si>
  <si>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</si>
  <si>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</si>
  <si>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</si>
  <si>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</si>
  <si>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</si>
  <si>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</si>
  <si>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</si>
  <si>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</si>
  <si>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</si>
  <si>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</si>
  <si>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</si>
  <si>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</si>
  <si>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</si>
  <si>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</si>
  <si>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</si>
  <si>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</si>
  <si>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</si>
  <si>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</si>
  <si>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</si>
  <si>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</si>
  <si>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</si>
  <si>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</si>
  <si>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</si>
  <si>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</si>
  <si>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</si>
  <si>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</si>
  <si>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</si>
  <si>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</si>
  <si>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</si>
  <si>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</si>
  <si>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</si>
  <si>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</si>
  <si>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</si>
  <si>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</si>
  <si>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</si>
  <si>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</si>
  <si>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</si>
  <si>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</si>
  <si>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</si>
  <si>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</si>
  <si>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</si>
  <si>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</si>
  <si>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</si>
  <si>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</si>
  <si>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</si>
  <si>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</si>
  <si>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</si>
  <si>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</si>
  <si>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</si>
  <si>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</si>
  <si>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</si>
  <si>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</si>
  <si>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</si>
  <si>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</si>
  <si>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</si>
  <si>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</si>
  <si>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</si>
  <si>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</si>
  <si>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</si>
  <si>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</si>
  <si>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</si>
  <si>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</si>
  <si>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</si>
  <si>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</si>
  <si>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</si>
  <si>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</si>
  <si>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</si>
  <si>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</si>
  <si>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</si>
  <si>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</si>
  <si>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</si>
  <si>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</si>
  <si>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</si>
  <si>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</si>
  <si>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</si>
  <si>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</si>
  <si>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</si>
  <si>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</si>
  <si>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</si>
  <si>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</si>
  <si>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</si>
  <si>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</si>
  <si>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</si>
  <si>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</si>
  <si>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</si>
  <si>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</si>
  <si>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</si>
  <si>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</si>
  <si>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</si>
  <si>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</si>
  <si>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</si>
  <si>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</si>
  <si>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</si>
  <si>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</si>
  <si>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</si>
  <si>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</si>
  <si>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</si>
  <si>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</si>
  <si>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</si>
  <si>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</si>
  <si>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</si>
  <si>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</si>
  <si>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</si>
  <si>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</si>
  <si>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</si>
  <si>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</si>
  <si>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</si>
  <si>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</si>
  <si>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</si>
  <si>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</si>
  <si>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</si>
  <si>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</si>
  <si>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</si>
  <si>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</si>
  <si>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</si>
  <si>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</si>
  <si>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</si>
  <si>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</si>
  <si>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</si>
  <si>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</si>
  <si>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</si>
  <si>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</si>
  <si>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</si>
  <si>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</si>
  <si>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</si>
  <si>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</si>
  <si>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</si>
  <si>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</si>
  <si>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</si>
  <si>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</si>
  <si>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</si>
  <si>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</si>
  <si>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</si>
  <si>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</si>
  <si>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</si>
  <si>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</si>
  <si>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</si>
  <si>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</si>
  <si>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</si>
  <si>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</si>
  <si>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</si>
  <si>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</si>
  <si>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</si>
  <si>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</si>
  <si>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</si>
  <si>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</si>
  <si>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</si>
  <si>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</si>
  <si>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</si>
  <si>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</si>
  <si>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</si>
  <si>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</si>
  <si>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</si>
  <si>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</si>
  <si>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</si>
  <si>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</si>
  <si>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</si>
  <si>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</si>
  <si>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</si>
  <si>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</si>
  <si>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</si>
  <si>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</si>
  <si>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</si>
  <si>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</si>
  <si>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</si>
  <si>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</si>
  <si>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</si>
  <si>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</si>
  <si>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</si>
  <si>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</si>
  <si>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</si>
  <si>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</si>
  <si>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</si>
  <si>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</si>
  <si>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</si>
  <si>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</si>
  <si>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</si>
  <si>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</si>
  <si>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</si>
  <si>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</si>
  <si>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</si>
  <si>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</si>
  <si>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</si>
  <si>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</si>
  <si>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</si>
  <si>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</si>
  <si>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</si>
  <si>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</si>
  <si>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</si>
  <si>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</si>
  <si>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</si>
  <si>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</si>
  <si>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</si>
  <si>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</si>
  <si>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</si>
  <si>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</si>
  <si>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</si>
  <si>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</si>
  <si>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</si>
  <si>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</si>
  <si>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</si>
  <si>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</si>
  <si>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</si>
  <si>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</si>
  <si>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</si>
  <si>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</si>
  <si>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</si>
  <si>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</si>
  <si>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</si>
  <si>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</si>
  <si>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</si>
  <si>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</si>
  <si>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</si>
  <si>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</si>
  <si>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</si>
  <si>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</si>
  <si>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</si>
  <si>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</si>
  <si>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</si>
  <si>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</si>
  <si>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</si>
  <si>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</si>
  <si>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</si>
  <si>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</si>
  <si>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</si>
  <si>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</si>
  <si>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</si>
  <si>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</si>
  <si>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</si>
  <si>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</si>
  <si>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</si>
  <si>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</si>
  <si>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</si>
  <si>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</si>
  <si>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</si>
  <si>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</si>
  <si>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</si>
  <si>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</si>
  <si>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</si>
  <si>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</si>
  <si>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</si>
  <si>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</si>
  <si>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</si>
  <si>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</si>
  <si>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</si>
  <si>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</si>
  <si>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</si>
  <si>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</si>
  <si>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</si>
  <si>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</si>
  <si>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</si>
  <si>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</si>
  <si>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</si>
  <si>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</si>
  <si>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</si>
  <si>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</si>
  <si>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</si>
  <si>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</si>
  <si>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</si>
  <si>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</si>
  <si>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</si>
  <si>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</si>
  <si>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</si>
  <si>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</si>
  <si>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</si>
  <si>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</si>
  <si>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</si>
  <si>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</si>
  <si>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</si>
  <si>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</si>
  <si>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</si>
  <si>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</si>
  <si>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</si>
  <si>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</si>
  <si>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</si>
  <si>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</si>
  <si>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</si>
  <si>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</si>
  <si>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</si>
  <si>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</si>
  <si>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</si>
  <si>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</si>
  <si>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</si>
  <si>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</si>
  <si>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</si>
  <si>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</si>
  <si>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</si>
  <si>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</si>
  <si>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</si>
  <si>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</si>
  <si>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</si>
  <si>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</si>
  <si>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</si>
  <si>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</si>
  <si>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</si>
  <si>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</si>
  <si>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</si>
  <si>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</si>
  <si>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</si>
  <si>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</si>
  <si>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</si>
  <si>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</si>
  <si>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</si>
  <si>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</si>
  <si>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</si>
  <si>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</si>
  <si>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</si>
  <si>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</si>
  <si>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</si>
  <si>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</si>
  <si>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</si>
  <si>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</si>
  <si>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</si>
  <si>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</si>
  <si>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</si>
  <si>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</si>
  <si>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</si>
  <si>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</si>
  <si>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</si>
  <si>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</si>
  <si>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</si>
  <si>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</si>
  <si>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</si>
  <si>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</si>
  <si>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</si>
  <si>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</si>
  <si>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</si>
  <si>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</si>
  <si>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</si>
  <si>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</si>
  <si>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</si>
  <si>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</si>
  <si>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</si>
  <si>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</si>
  <si>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</si>
  <si>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</si>
  <si>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</si>
  <si>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</si>
  <si>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</si>
  <si>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</si>
  <si>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</si>
  <si>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</si>
  <si>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</si>
  <si>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</si>
  <si>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</si>
  <si>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</si>
  <si>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</si>
  <si>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</si>
  <si>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</si>
  <si>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</si>
  <si>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</si>
  <si>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</si>
  <si>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</si>
  <si>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</si>
  <si>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</si>
  <si>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</si>
  <si>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</si>
  <si>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</si>
  <si>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</si>
  <si>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</si>
  <si>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</si>
  <si>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</si>
  <si>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</si>
  <si>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</si>
  <si>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</si>
  <si>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</si>
  <si>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</si>
  <si>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</si>
  <si>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</si>
  <si>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</si>
  <si>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</si>
  <si>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</si>
  <si>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</si>
  <si>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</si>
  <si>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</si>
  <si>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</si>
  <si>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</si>
  <si>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</si>
  <si>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</si>
  <si>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</si>
  <si>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</si>
  <si>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</si>
  <si>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</si>
  <si>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</si>
  <si>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</si>
  <si>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</si>
  <si>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</si>
  <si>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</si>
  <si>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</si>
  <si>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</si>
  <si>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</si>
  <si>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</si>
  <si>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</si>
  <si>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</si>
  <si>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</si>
  <si>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</si>
  <si>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</si>
  <si>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</si>
  <si>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</si>
  <si>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Mean</t>
  </si>
  <si>
    <t>Median</t>
  </si>
  <si>
    <t>Mode</t>
  </si>
  <si>
    <t>Variance</t>
  </si>
  <si>
    <t>Stdev</t>
  </si>
  <si>
    <t>Count</t>
  </si>
  <si>
    <t>min</t>
  </si>
  <si>
    <t>Original Script</t>
  </si>
  <si>
    <t>Refactored Script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</si>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</sst>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0.0%"/>
    <numFmt numFmtId="166" formatCode="_-* #,##0.00000_-;\-* #,##0.0000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164" fontId="0" fillId="0" borderId="0" xfId="1" applyFont="1"/>
    <xf numFmtId="0" fontId="1" fillId="0" borderId="3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164" fontId="0" fillId="0" borderId="0" xfId="0" applyNumberFormat="1"/>
    <xf numFmtId="166" fontId="0" fillId="0" borderId="0" xfId="1" applyNumberFormat="1" applyFon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0</xdr:row>
          <xdr:rowOff>101600</xdr:rowOff>
        </xdr:from>
        <xdr:to>
          <xdr:col>7</xdr:col>
          <xdr:colOff>0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4</xdr:row>
          <xdr:rowOff>76200</xdr:rowOff>
        </xdr:from>
        <xdr:to>
          <xdr:col>7</xdr:col>
          <xdr:colOff>266700</xdr:colOff>
          <xdr:row>6</xdr:row>
          <xdr:rowOff>76200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12700</xdr:rowOff>
        </xdr:from>
        <xdr:to>
          <xdr:col>6</xdr:col>
          <xdr:colOff>76200</xdr:colOff>
          <xdr:row>4</xdr:row>
          <xdr:rowOff>165100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6</xdr:col>
          <xdr:colOff>76200</xdr:colOff>
          <xdr:row>8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Old Year Value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25400</xdr:rowOff>
        </xdr:from>
        <xdr:to>
          <xdr:col>6</xdr:col>
          <xdr:colOff>76200</xdr:colOff>
          <xdr:row>11</xdr:row>
          <xdr:rowOff>25400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Year Value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13"/>
  <sheetViews>
    <sheetView workbookViewId="0"/>
  </sheetViews>
  <sheetFormatPr baseColWidth="10" defaultColWidth="8.83203125" defaultRowHeight="15" x14ac:dyDescent="0.2"/>
  <cols>
    <col min="2" max="2" width="10.5" bestFit="1" customWidth="1"/>
  </cols>
  <sheetData>
    <row r="1" spans="1:1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7" t="s">
        <v>526</v>
      </c>
      <c r="K1" s="7" t="s">
        <v>527</v>
      </c>
      <c r="L1" s="7" t="s">
        <v>528</v>
      </c>
      <c r="M1" s="7" t="s">
        <v>529</v>
      </c>
      <c r="N1" s="7" t="s">
        <v>530</v>
      </c>
      <c r="O1" s="7" t="s">
        <v>531</v>
      </c>
      <c r="Q1" s="8" t="s">
        <v>532</v>
      </c>
    </row>
    <row r="2" spans="1:17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 s="6">
        <f>AVERAGE(F2:F252)</f>
        <v>21.058167330677286</v>
      </c>
      <c r="K2" s="6">
        <f>MEDIAN(F2:F252)</f>
        <v>20.98</v>
      </c>
      <c r="L2" s="6">
        <f>MODE(F2:F252)</f>
        <v>20.98</v>
      </c>
      <c r="M2" s="6">
        <f>_xlfn.VAR.P(F2:F252)</f>
        <v>0.77766262012844412</v>
      </c>
      <c r="N2" s="6">
        <f>_xlfn.STDEV.P(F2:F252)</f>
        <v>0.88185181302101101</v>
      </c>
      <c r="O2">
        <f>COUNT(F2:F252)</f>
        <v>251</v>
      </c>
      <c r="Q2" s="9">
        <f>MIN(N2:N2763)</f>
        <v>0.58190992840401101</v>
      </c>
    </row>
    <row r="3" spans="1:17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7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7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7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7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7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7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7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7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7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7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7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7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7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15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15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15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15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15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15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15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15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15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15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15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15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15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  <c r="J253" s="6">
        <f>AVERAGE(F253:F503)</f>
        <v>14.980956187250994</v>
      </c>
      <c r="K253" s="6">
        <f>MEDIAN(F253:F503)</f>
        <v>15.46</v>
      </c>
      <c r="L253" s="6">
        <f>MODE(F253:F503)</f>
        <v>12.58</v>
      </c>
      <c r="M253" s="6">
        <f>_xlfn.VAR.P(F253:F503)</f>
        <v>4.1191449507259854</v>
      </c>
      <c r="N253" s="6">
        <f>_xlfn.STDEV.P(F253:F503)</f>
        <v>2.029567675818174</v>
      </c>
      <c r="O253">
        <f>COUNT(F253:F503)</f>
        <v>251</v>
      </c>
    </row>
    <row r="254" spans="1:15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15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15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15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15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15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15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15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15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15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15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  <c r="J504" s="6">
        <f>AVERAGE(F504:F754)</f>
        <v>27.822788796812734</v>
      </c>
      <c r="K504" s="6">
        <f>MEDIAN(F504:F754)</f>
        <v>24.33</v>
      </c>
      <c r="L504" s="6">
        <f>MODE(F504:F754)</f>
        <v>24.51</v>
      </c>
      <c r="M504" s="6">
        <f>_xlfn.VAR.P(F504:F754)</f>
        <v>98.698496957992191</v>
      </c>
      <c r="N504" s="6">
        <f>_xlfn.STDEV.P(F504:F754)</f>
        <v>9.9347117199238451</v>
      </c>
      <c r="O504">
        <f>COUNT(F504:F754)</f>
        <v>251</v>
      </c>
    </row>
    <row r="505" spans="1:15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15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15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15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15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15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15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15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15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15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15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  <c r="J755" s="6">
        <f>AVERAGE(F755:F1005)</f>
        <v>1.3905976095617534</v>
      </c>
      <c r="K755" s="6">
        <f>MEDIAN(F755:F1005)</f>
        <v>1.3</v>
      </c>
      <c r="L755" s="6">
        <f>MODE(F755:F1005)</f>
        <v>0.82</v>
      </c>
      <c r="M755" s="6">
        <f>_xlfn.VAR.P(F755:F1005)</f>
        <v>0.33861916477516124</v>
      </c>
      <c r="N755" s="6">
        <f>_xlfn.STDEV.P(F755:F1005)</f>
        <v>0.58190992840401101</v>
      </c>
      <c r="O755">
        <f>COUNT(F755:F1005)</f>
        <v>251</v>
      </c>
    </row>
    <row r="756" spans="1:15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15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15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15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15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15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15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15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15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15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15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15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15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15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15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15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15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15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15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15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15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15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15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15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15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15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15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  <c r="J1006" s="6">
        <f>AVERAGE(F1006:F1256)</f>
        <v>42.990239039840645</v>
      </c>
      <c r="K1006" s="6">
        <f>MEDIAN(F1006:F1256)</f>
        <v>39.880001</v>
      </c>
      <c r="L1006" s="6">
        <f>MODE(F1006:F1256)</f>
        <v>33.57</v>
      </c>
      <c r="M1006" s="6">
        <f>_xlfn.VAR.P(F1006:F1256)</f>
        <v>136.28419243513059</v>
      </c>
      <c r="N1006" s="6">
        <f>_xlfn.STDEV.P(F1006:F1256)</f>
        <v>11.674082081051623</v>
      </c>
      <c r="O1006">
        <f>COUNT(F1006:F1256)</f>
        <v>251</v>
      </c>
    </row>
    <row r="1007" spans="1:15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15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15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15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15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15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15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15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15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15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15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  <c r="J1257" s="6">
        <f>AVERAGE(F1257:F1507)</f>
        <v>22.183984043824704</v>
      </c>
      <c r="K1257" s="6">
        <f>MEDIAN(F1257:F1507)</f>
        <v>22.98</v>
      </c>
      <c r="L1257" s="6">
        <f>MODE(F1257:F1507)</f>
        <v>24.18</v>
      </c>
      <c r="M1257" s="6">
        <f>_xlfn.VAR.P(F1257:F1507)</f>
        <v>3.8300446403037012</v>
      </c>
      <c r="N1257" s="6">
        <f>_xlfn.STDEV.P(F1257:F1507)</f>
        <v>1.9570499841096807</v>
      </c>
      <c r="O1257">
        <f>COUNT(F1257:F1507)</f>
        <v>251</v>
      </c>
    </row>
    <row r="1258" spans="1:15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15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15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15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15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15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15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15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15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15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15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  <c r="J1508" s="6">
        <f>AVERAGE(F1508:F1758)</f>
        <v>21.281474171314738</v>
      </c>
      <c r="K1508" s="6">
        <f>MEDIAN(F1508:F1758)</f>
        <v>20.629999000000002</v>
      </c>
      <c r="L1508" s="6">
        <f>MODE(F1508:F1758)</f>
        <v>17.25</v>
      </c>
      <c r="M1508" s="6">
        <f>_xlfn.VAR.P(F1508:F1758)</f>
        <v>22.181614039488995</v>
      </c>
      <c r="N1508" s="6">
        <f>_xlfn.STDEV.P(F1508:F1758)</f>
        <v>4.7097360902166265</v>
      </c>
      <c r="O1508">
        <f>COUNT(F1508:F1758)</f>
        <v>251</v>
      </c>
    </row>
    <row r="1509" spans="1:15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15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15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15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15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15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15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15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15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15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15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15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15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15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15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15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15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15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15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15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15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15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15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15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15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15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15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  <c r="J1759" s="6">
        <f>AVERAGE(F1759:F2009)</f>
        <v>5.8821314741035842</v>
      </c>
      <c r="K1759" s="6">
        <f>MEDIAN(F1759:F2009)</f>
        <v>5.69</v>
      </c>
      <c r="L1759" s="6">
        <f>MODE(F1759:F2009)</f>
        <v>4.9000000000000004</v>
      </c>
      <c r="M1759" s="6">
        <f>_xlfn.VAR.P(F1759:F2009)</f>
        <v>0.54580711020461914</v>
      </c>
      <c r="N1759" s="6">
        <f>_xlfn.STDEV.P(F1759:F2009)</f>
        <v>0.73878759478257294</v>
      </c>
      <c r="O1759">
        <f>COUNT(F1759:F2009)</f>
        <v>251</v>
      </c>
    </row>
    <row r="1760" spans="1:15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15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15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15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15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15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15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15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15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15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15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  <c r="J2010" s="6">
        <f>AVERAGE(F2010:F2260)</f>
        <v>22.854282840637449</v>
      </c>
      <c r="K2010" s="6">
        <f>MEDIAN(F2010:F2260)</f>
        <v>20.700001</v>
      </c>
      <c r="L2010" s="6">
        <f>MODE(F2010:F2260)</f>
        <v>13.5</v>
      </c>
      <c r="M2010" s="6">
        <f>_xlfn.VAR.P(F2010:F2260)</f>
        <v>67.260871604487832</v>
      </c>
      <c r="N2010" s="6">
        <f>_xlfn.STDEV.P(F2010:F2260)</f>
        <v>8.2012725600657745</v>
      </c>
      <c r="O2010">
        <f>COUNT(F2010:F2260)</f>
        <v>251</v>
      </c>
    </row>
    <row r="2011" spans="1:15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15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15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15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15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15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15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15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15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15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15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  <c r="J2261" s="6">
        <f>AVERAGE(F2261:F2511)</f>
        <v>7.9540239043824688</v>
      </c>
      <c r="K2261" s="6">
        <f>MEDIAN(F2261:F2511)</f>
        <v>7.83</v>
      </c>
      <c r="L2261" s="6">
        <f>MODE(F2261:F2511)</f>
        <v>6.68</v>
      </c>
      <c r="M2261" s="6">
        <f>_xlfn.VAR.P(F2261:F2511)</f>
        <v>1.4190479516198515</v>
      </c>
      <c r="N2261" s="6">
        <f>_xlfn.STDEV.P(F2261:F2511)</f>
        <v>1.1912379911755047</v>
      </c>
      <c r="O2261">
        <f>COUNT(F2261:F2511)</f>
        <v>251</v>
      </c>
    </row>
    <row r="2262" spans="1:15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15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15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15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15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15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15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15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15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15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15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15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15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15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15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15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15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15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15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15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15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15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15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15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15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15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15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  <c r="J2512" s="6">
        <f>AVERAGE(F2512:F2762)</f>
        <v>12.4599203187251</v>
      </c>
      <c r="K2512" s="6">
        <f>MEDIAN(F2512:F2762)</f>
        <v>12.37</v>
      </c>
      <c r="L2512" s="6">
        <f>MODE(F2512:F2762)</f>
        <v>12.3</v>
      </c>
      <c r="M2512" s="6">
        <f>_xlfn.VAR.P(F2512:F2762)</f>
        <v>0.45162130839193065</v>
      </c>
      <c r="N2512" s="6">
        <f>_xlfn.STDEV.P(F2512:F2762)</f>
        <v>0.67202775864686626</v>
      </c>
      <c r="O2512">
        <f>COUNT(F2512:F2762)</f>
        <v>251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15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15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15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15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15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15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15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15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15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15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15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  <c r="J2763" s="6">
        <f>AVERAGE(F2763:F3013)</f>
        <v>3.7450199203187262</v>
      </c>
      <c r="K2763" s="6">
        <f>MEDIAN(F2763:F3013)</f>
        <v>3.5</v>
      </c>
      <c r="L2763" s="6">
        <f>MODE(F2763:F3013)</f>
        <v>2.95</v>
      </c>
      <c r="M2763" s="6">
        <f>_xlfn.VAR.P(F2763:F3013)</f>
        <v>0.81221623466294457</v>
      </c>
      <c r="N2763" s="6">
        <f>_xlfn.STDEV.P(F2763:F3013)</f>
        <v>0.90123040043206737</v>
      </c>
      <c r="O2763">
        <f>COUNT(F2763:F3013)</f>
        <v>251</v>
      </c>
    </row>
    <row r="2764" spans="1:15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15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15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15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15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workbookViewId="0">
      <selection activeCell="C28" sqref="C28"/>
    </sheetView>
  </sheetViews>
  <sheetFormatPr baseColWidth="10" defaultColWidth="8.83203125" defaultRowHeight="15" x14ac:dyDescent="0.2"/>
  <cols>
    <col min="2" max="2" width="10.5" bestFit="1" customWidth="1"/>
    <col min="10" max="12" width="9.6640625" bestFit="1" customWidth="1"/>
    <col min="13" max="13" width="10.5" bestFit="1" customWidth="1"/>
    <col min="14" max="14" width="9.5" bestFit="1" customWidth="1"/>
  </cols>
  <sheetData>
    <row r="1" spans="1:1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7" t="s">
        <v>526</v>
      </c>
      <c r="K1" s="7" t="s">
        <v>527</v>
      </c>
      <c r="L1" s="7" t="s">
        <v>528</v>
      </c>
      <c r="M1" s="7" t="s">
        <v>529</v>
      </c>
      <c r="N1" s="7" t="s">
        <v>530</v>
      </c>
      <c r="O1" s="7" t="s">
        <v>531</v>
      </c>
      <c r="Q1" s="8" t="s">
        <v>532</v>
      </c>
    </row>
    <row r="2" spans="1:17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 s="6">
        <f>AVERAGE(F2:F252)</f>
        <v>20.125438294820718</v>
      </c>
      <c r="K2" s="6">
        <f>MEDIAN(F2:F252)</f>
        <v>20.09</v>
      </c>
      <c r="L2" s="6">
        <f>MODE(F2:F252)</f>
        <v>19.600000000000001</v>
      </c>
      <c r="M2" s="6">
        <f>_xlfn.VAR.P(F2:F252)</f>
        <v>0.31262802821682906</v>
      </c>
      <c r="N2" s="6">
        <f>_xlfn.STDEV.P(F2:F252)</f>
        <v>0.5591314945670911</v>
      </c>
      <c r="O2">
        <f>COUNT(F2:F252)</f>
        <v>251</v>
      </c>
      <c r="Q2" s="9">
        <f>MIN(N2:N2763)</f>
        <v>0.39480885823285983</v>
      </c>
    </row>
    <row r="3" spans="1:17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7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7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7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7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7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7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7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7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7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7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7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7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7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5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5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15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15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15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15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15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15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15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15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5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15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15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J253" s="6">
        <f>AVERAGE(F253:F503)</f>
        <v>14.98266926294821</v>
      </c>
      <c r="K253" s="6">
        <f>MEDIAN(F253:F503)</f>
        <v>15.23</v>
      </c>
      <c r="L253" s="6">
        <f>MODE(F253:F503)</f>
        <v>16.049999</v>
      </c>
      <c r="M253" s="6">
        <f>_xlfn.VAR.P(F253:F503)</f>
        <v>2.2287460800553816</v>
      </c>
      <c r="N253" s="6">
        <f>_xlfn.STDEV.P(F253:F503)</f>
        <v>1.4928985498202421</v>
      </c>
      <c r="O253">
        <f>COUNT(F253:F503)</f>
        <v>251</v>
      </c>
    </row>
    <row r="254" spans="1:15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5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5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5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5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5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5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5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5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5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5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J504" s="6">
        <f>AVERAGE(F504:F754)</f>
        <v>41.029043729083661</v>
      </c>
      <c r="K504" s="6">
        <f>MEDIAN(F504:F754)</f>
        <v>37.740001999999997</v>
      </c>
      <c r="L504" s="6">
        <f>MODE(F504:F754)</f>
        <v>53.799999</v>
      </c>
      <c r="M504" s="6">
        <f>_xlfn.VAR.P(F504:F754)</f>
        <v>183.701421351205</v>
      </c>
      <c r="N504" s="6">
        <f>_xlfn.STDEV.P(F504:F754)</f>
        <v>13.553649742825915</v>
      </c>
      <c r="O504">
        <f>COUNT(F504:F754)</f>
        <v>251</v>
      </c>
    </row>
    <row r="505" spans="1:15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5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5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5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5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5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5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5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15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15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15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J755" s="6">
        <f>AVERAGE(F755:F1005)</f>
        <v>4.7058167330677296</v>
      </c>
      <c r="K755" s="6">
        <f>MEDIAN(F755:F1005)</f>
        <v>4.83</v>
      </c>
      <c r="L755" s="6">
        <f>MODE(F755:F1005)</f>
        <v>5.68</v>
      </c>
      <c r="M755" s="6">
        <f>_xlfn.VAR.P(F755:F1005)</f>
        <v>1.6723868827478869</v>
      </c>
      <c r="N755" s="6">
        <f>_xlfn.STDEV.P(F755:F1005)</f>
        <v>1.2932079812419528</v>
      </c>
      <c r="O755">
        <f>COUNT(F755:F1005)</f>
        <v>251</v>
      </c>
    </row>
    <row r="756" spans="1:15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15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15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15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15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15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15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15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15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15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15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15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15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15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15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15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15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15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15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15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15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15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15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15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15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15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15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J1006" s="6">
        <f>AVERAGE(F1006:F1256)</f>
        <v>57.26350603585658</v>
      </c>
      <c r="K1006" s="6">
        <f>MEDIAN(F1006:F1256)</f>
        <v>53.59</v>
      </c>
      <c r="L1006" s="6">
        <f>MODE(F1006:F1256)</f>
        <v>63.48</v>
      </c>
      <c r="M1006" s="6">
        <f>_xlfn.VAR.P(F1006:F1256)</f>
        <v>121.80749500651905</v>
      </c>
      <c r="N1006" s="6">
        <f>_xlfn.STDEV.P(F1006:F1256)</f>
        <v>11.036643285280133</v>
      </c>
      <c r="O1006">
        <f>COUNT(F1006:F1256)</f>
        <v>251</v>
      </c>
    </row>
    <row r="1007" spans="1:15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15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15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15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15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15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15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15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15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15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15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J1257" s="6">
        <f>AVERAGE(F1257:F1507)</f>
        <v>20.360637458167346</v>
      </c>
      <c r="K1257" s="6">
        <f>MEDIAN(F1257:F1507)</f>
        <v>19.93</v>
      </c>
      <c r="L1257" s="6">
        <f>MODE(F1257:F1507)</f>
        <v>21.74</v>
      </c>
      <c r="M1257" s="6">
        <f>_xlfn.VAR.P(F1257:F1507)</f>
        <v>2.371505622253077</v>
      </c>
      <c r="N1257" s="6">
        <f>_xlfn.STDEV.P(F1257:F1507)</f>
        <v>1.539969357569519</v>
      </c>
      <c r="O1257">
        <f>COUNT(F1257:F1507)</f>
        <v>251</v>
      </c>
    </row>
    <row r="1258" spans="1:15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15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15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15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15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15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15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15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15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15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15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J1508" s="6">
        <f>AVERAGE(F1508:F1758)</f>
        <v>15.096095617529881</v>
      </c>
      <c r="K1508" s="6">
        <f>MEDIAN(F1508:F1758)</f>
        <v>13.93</v>
      </c>
      <c r="L1508" s="6">
        <f>MODE(F1508:F1758)</f>
        <v>18.010000000000002</v>
      </c>
      <c r="M1508" s="6">
        <f>_xlfn.VAR.P(F1508:F1758)</f>
        <v>19.702825290538499</v>
      </c>
      <c r="N1508" s="6">
        <f>_xlfn.STDEV.P(F1508:F1758)</f>
        <v>4.4387864659767651</v>
      </c>
      <c r="O1508">
        <f>COUNT(F1508:F1758)</f>
        <v>251</v>
      </c>
    </row>
    <row r="1509" spans="1:15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15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15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15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15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15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15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15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15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15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15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15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15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15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15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15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15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15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15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15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15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15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15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15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15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15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15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J1759" s="6">
        <f>AVERAGE(F1759:F2009)</f>
        <v>11.057390438247017</v>
      </c>
      <c r="K1759" s="6">
        <f>MEDIAN(F1759:F2009)</f>
        <v>12.22</v>
      </c>
      <c r="L1759" s="6">
        <f>MODE(F1759:F2009)</f>
        <v>6.33</v>
      </c>
      <c r="M1759" s="6">
        <f>_xlfn.VAR.P(F1759:F2009)</f>
        <v>8.8347813375977164</v>
      </c>
      <c r="N1759" s="6">
        <f>_xlfn.STDEV.P(F1759:F2009)</f>
        <v>2.9723360068467555</v>
      </c>
      <c r="O1759">
        <f>COUNT(F1759:F2009)</f>
        <v>251</v>
      </c>
    </row>
    <row r="1760" spans="1:15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15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15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15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15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15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15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15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15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15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15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J2010" s="6">
        <f>AVERAGE(F2010:F2260)</f>
        <v>46.470677406374541</v>
      </c>
      <c r="K2010" s="6">
        <f>MEDIAN(F2010:F2260)</f>
        <v>47.200001</v>
      </c>
      <c r="L2010" s="6">
        <f>MODE(F2010:F2260)</f>
        <v>53</v>
      </c>
      <c r="M2010" s="6">
        <f>_xlfn.VAR.P(F2010:F2260)</f>
        <v>71.230814422153372</v>
      </c>
      <c r="N2010" s="6">
        <f>_xlfn.STDEV.P(F2010:F2260)</f>
        <v>8.4398349760023965</v>
      </c>
      <c r="O2010">
        <f>COUNT(F2010:F2260)</f>
        <v>251</v>
      </c>
    </row>
    <row r="2011" spans="1:15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15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15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15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15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15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15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15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15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15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15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J2261" s="6">
        <f>AVERAGE(F2261:F2511)</f>
        <v>7.4328286852589658</v>
      </c>
      <c r="K2261" s="6">
        <f>MEDIAN(F2261:F2511)</f>
        <v>7.38</v>
      </c>
      <c r="L2261" s="6">
        <f>MODE(F2261:F2511)</f>
        <v>8.14</v>
      </c>
      <c r="M2261" s="6">
        <f>_xlfn.VAR.P(F2261:F2511)</f>
        <v>0.90897327344011503</v>
      </c>
      <c r="N2261" s="6">
        <f>_xlfn.STDEV.P(F2261:F2511)</f>
        <v>0.95340089859414079</v>
      </c>
      <c r="O2261">
        <f>COUNT(F2261:F2511)</f>
        <v>251</v>
      </c>
    </row>
    <row r="2262" spans="1:15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15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15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15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15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15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15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15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15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15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15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15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15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15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15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15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15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15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15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15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15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15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15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15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15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15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15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J2512" s="6">
        <f>AVERAGE(F2512:F2762)</f>
        <v>11.190517928286855</v>
      </c>
      <c r="K2512" s="6">
        <f>MEDIAN(F2512:F2762)</f>
        <v>11.18</v>
      </c>
      <c r="L2512" s="6">
        <f>MODE(F2512:F2762)</f>
        <v>11.09</v>
      </c>
      <c r="M2512" s="6">
        <f>_xlfn.VAR.P(F2512:F2762)</f>
        <v>0.15587403453913443</v>
      </c>
      <c r="N2512" s="6">
        <f>_xlfn.STDEV.P(F2512:F2762)</f>
        <v>0.39480885823285983</v>
      </c>
      <c r="O2512">
        <f>COUNT(F2512:F2762)</f>
        <v>251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15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15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15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15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15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15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15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15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15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15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15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J2763" s="6">
        <f>AVERAGE(F2763:F3013)</f>
        <v>4.5304382470119515</v>
      </c>
      <c r="K2763" s="6">
        <f>MEDIAN(F2763:F3013)</f>
        <v>4.62</v>
      </c>
      <c r="L2763" s="6">
        <f>MODE(F2763:F3013)</f>
        <v>4</v>
      </c>
      <c r="M2763" s="6">
        <f>_xlfn.VAR.P(F2763:F3013)</f>
        <v>0.80275239758099104</v>
      </c>
      <c r="N2763" s="6">
        <f>_xlfn.STDEV.P(F2763:F3013)</f>
        <v>0.89596450687568596</v>
      </c>
      <c r="O2763">
        <f>COUNT(F2763:F3013)</f>
        <v>251</v>
      </c>
    </row>
    <row r="2764" spans="1:15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15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15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15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15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56AC2-3CFC-E341-9CF8-1BAD5F31A1B5}">
  <sheetPr codeName="Sheet3"/>
  <dimension ref="A1:M23"/>
  <sheetViews>
    <sheetView workbookViewId="0">
      <selection activeCell="J4" sqref="J4:M4"/>
    </sheetView>
  </sheetViews>
  <sheetFormatPr baseColWidth="10" defaultColWidth="11.5" defaultRowHeight="15" x14ac:dyDescent="0.2"/>
  <sheetData>
    <row r="1" spans="1:13" x14ac:dyDescent="0.2">
      <c r="A1" t="s">
        <v>522</v>
      </c>
      <c r="J1">
        <v>2017</v>
      </c>
      <c r="K1">
        <v>2018</v>
      </c>
      <c r="L1">
        <v>2017</v>
      </c>
      <c r="M1">
        <v>2018</v>
      </c>
    </row>
    <row r="2" spans="1:13" x14ac:dyDescent="0.2">
      <c r="J2" t="s">
        <v>533</v>
      </c>
      <c r="K2" t="s">
        <v>533</v>
      </c>
      <c r="L2" t="s">
        <v>534</v>
      </c>
      <c r="M2" t="s">
        <v>534</v>
      </c>
    </row>
    <row r="3" spans="1:13" x14ac:dyDescent="0.2">
      <c r="A3" t="s">
        <v>523</v>
      </c>
      <c r="B3" t="s">
        <v>524</v>
      </c>
      <c r="C3" t="s">
        <v>525</v>
      </c>
    </row>
    <row r="4" spans="1:13" x14ac:dyDescent="0.2">
      <c r="A4">
        <v>2018</v>
      </c>
      <c r="B4">
        <v>107873900</v>
      </c>
      <c r="C4">
        <v>-0.62601885887805664</v>
      </c>
      <c r="J4">
        <v>0.24609375</v>
      </c>
      <c r="K4">
        <v>0.27734375</v>
      </c>
      <c r="L4">
        <v>3.90625E-2</v>
      </c>
      <c r="M4">
        <v>3.90625E-2</v>
      </c>
    </row>
    <row r="14" spans="1:13" x14ac:dyDescent="0.2">
      <c r="A14" s="10"/>
      <c r="B14" s="10"/>
      <c r="C14" s="10"/>
      <c r="D14" s="10"/>
      <c r="E14" s="11"/>
    </row>
    <row r="15" spans="1:13" x14ac:dyDescent="0.2">
      <c r="A15" s="10"/>
      <c r="B15" s="10"/>
      <c r="C15" s="10"/>
      <c r="D15" s="10"/>
      <c r="E15" s="11"/>
    </row>
    <row r="16" spans="1:13" x14ac:dyDescent="0.2">
      <c r="A16" s="10"/>
      <c r="B16" s="10"/>
      <c r="C16" s="10"/>
      <c r="D16" s="10"/>
      <c r="E16" s="11"/>
    </row>
    <row r="17" spans="1:5" x14ac:dyDescent="0.2">
      <c r="A17" s="10"/>
      <c r="B17" s="10"/>
      <c r="C17" s="10"/>
      <c r="D17" s="10"/>
      <c r="E17" s="11"/>
    </row>
    <row r="18" spans="1:5" x14ac:dyDescent="0.2">
      <c r="A18" s="10"/>
      <c r="B18" s="10"/>
      <c r="C18" s="10"/>
      <c r="D18" s="10"/>
      <c r="E18" s="11"/>
    </row>
    <row r="19" spans="1:5" x14ac:dyDescent="0.2">
      <c r="A19" s="10"/>
      <c r="B19" s="10"/>
      <c r="C19" s="10"/>
      <c r="D19" s="10"/>
      <c r="E19" s="11"/>
    </row>
    <row r="20" spans="1:5" x14ac:dyDescent="0.2">
      <c r="A20" s="10"/>
      <c r="B20" s="10"/>
      <c r="C20" s="10"/>
      <c r="D20" s="10"/>
      <c r="E20" s="11"/>
    </row>
    <row r="21" spans="1:5" x14ac:dyDescent="0.2">
      <c r="A21" s="10"/>
      <c r="B21" s="10"/>
      <c r="C21" s="10"/>
      <c r="D21" s="10"/>
      <c r="E21" s="11"/>
    </row>
    <row r="22" spans="1:5" x14ac:dyDescent="0.2">
      <c r="A22" s="10"/>
      <c r="B22" s="10"/>
      <c r="C22" s="10"/>
      <c r="D22" s="10"/>
      <c r="E22" s="11"/>
    </row>
    <row r="23" spans="1:5" x14ac:dyDescent="0.2">
      <c r="A23" s="10"/>
      <c r="B23" s="10"/>
      <c r="C23" s="10"/>
      <c r="D23" s="10"/>
      <c r="E23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yearValueAnalysis2017">
                <anchor moveWithCells="1" sizeWithCells="1">
                  <from>
                    <xdr:col>5</xdr:col>
                    <xdr:colOff>50800</xdr:colOff>
                    <xdr:row>0</xdr:row>
                    <xdr:rowOff>101600</xdr:rowOff>
                  </from>
                  <to>
                    <xdr:col>7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yearValueAnalysis2017">
                <anchor moveWithCells="1" sizeWithCells="1">
                  <from>
                    <xdr:col>5</xdr:col>
                    <xdr:colOff>495300</xdr:colOff>
                    <xdr:row>4</xdr:row>
                    <xdr:rowOff>76200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2C12-B1F3-884C-85ED-59F659FCC295}">
  <sheetPr codeName="Sheet5"/>
  <dimension ref="A1:C15"/>
  <sheetViews>
    <sheetView tabSelected="1" workbookViewId="0">
      <selection activeCell="F31" sqref="F31"/>
    </sheetView>
  </sheetViews>
  <sheetFormatPr baseColWidth="10" defaultColWidth="11.5" defaultRowHeight="15" x14ac:dyDescent="0.2"/>
  <cols>
    <col min="2" max="2" width="15.6640625" bestFit="1" customWidth="1"/>
  </cols>
  <sheetData>
    <row r="1" spans="1:3" x14ac:dyDescent="0.2">
      <c r="A1" t="s">
        <v>535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3</xdr:row>
                    <xdr:rowOff>12700</xdr:rowOff>
                  </from>
                  <to>
                    <xdr:col>6</xdr:col>
                    <xdr:colOff>76200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yearValueAnalysis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76200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Refactored.AllStocksAnalysisRefactored">
                <anchor moveWithCells="1" sizeWithCells="1">
                  <from>
                    <xdr:col>4</xdr:col>
                    <xdr:colOff>0</xdr:colOff>
                    <xdr:row>9</xdr:row>
                    <xdr:rowOff>25400</xdr:rowOff>
                  </from>
                  <to>
                    <xdr:col>6</xdr:col>
                    <xdr:colOff>76200</xdr:colOff>
                    <xdr:row>11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Avinash Mehra</cp:lastModifiedBy>
  <dcterms:created xsi:type="dcterms:W3CDTF">2019-05-02T20:23:55Z</dcterms:created>
  <dcterms:modified xsi:type="dcterms:W3CDTF">2022-05-17T00:35:07Z</dcterms:modified>
</cp:coreProperties>
</file>